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6a8e0c578cce4d5/Documents/Devel/MiniH8/Documentation/"/>
    </mc:Choice>
  </mc:AlternateContent>
  <xr:revisionPtr revIDLastSave="39" documentId="8_{28299701-EF0E-4EA9-81EF-24F5FBAF51CA}" xr6:coauthVersionLast="47" xr6:coauthVersionMax="47" xr10:uidLastSave="{7C1F1466-7ACE-4AFA-B911-82762F46827F}"/>
  <bookViews>
    <workbookView xWindow="10590" yWindow="255" windowWidth="21600" windowHeight="14535" xr2:uid="{A414EE4C-F510-43B6-8BCD-39260BAF15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8" i="1" l="1"/>
  <c r="B27" i="1"/>
  <c r="B26" i="1"/>
  <c r="C26" i="1" s="1"/>
  <c r="H15" i="1"/>
  <c r="H25" i="1"/>
  <c r="H24" i="1"/>
  <c r="H23" i="1"/>
  <c r="H22" i="1"/>
  <c r="H21" i="1"/>
  <c r="H20" i="1"/>
  <c r="H19" i="1"/>
  <c r="H18" i="1"/>
  <c r="H17" i="1"/>
  <c r="H16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C11" i="1"/>
  <c r="D11" i="1"/>
  <c r="E11" i="1" s="1"/>
  <c r="B10" i="1"/>
  <c r="B12" i="1"/>
  <c r="B39" i="1" l="1"/>
  <c r="C38" i="1"/>
  <c r="B28" i="1"/>
  <c r="C27" i="1"/>
  <c r="D26" i="1"/>
  <c r="E26" i="1" s="1"/>
  <c r="F26" i="1"/>
  <c r="B9" i="1"/>
  <c r="C10" i="1"/>
  <c r="D10" i="1" s="1"/>
  <c r="E10" i="1" s="1"/>
  <c r="B13" i="1"/>
  <c r="C12" i="1"/>
  <c r="D12" i="1" s="1"/>
  <c r="E12" i="1" s="1"/>
  <c r="C39" i="1" l="1"/>
  <c r="B40" i="1"/>
  <c r="D38" i="1"/>
  <c r="E38" i="1" s="1"/>
  <c r="F38" i="1"/>
  <c r="C28" i="1"/>
  <c r="B29" i="1"/>
  <c r="F27" i="1"/>
  <c r="D27" i="1"/>
  <c r="E27" i="1" s="1"/>
  <c r="G26" i="1"/>
  <c r="H26" i="1"/>
  <c r="C9" i="1"/>
  <c r="D9" i="1" s="1"/>
  <c r="E9" i="1" s="1"/>
  <c r="B8" i="1"/>
  <c r="C13" i="1"/>
  <c r="D13" i="1" s="1"/>
  <c r="E13" i="1" s="1"/>
  <c r="B14" i="1"/>
  <c r="D39" i="1" l="1"/>
  <c r="E39" i="1" s="1"/>
  <c r="F39" i="1"/>
  <c r="C40" i="1"/>
  <c r="B41" i="1"/>
  <c r="G38" i="1"/>
  <c r="H38" i="1"/>
  <c r="D28" i="1"/>
  <c r="E28" i="1" s="1"/>
  <c r="F28" i="1"/>
  <c r="C29" i="1"/>
  <c r="B30" i="1"/>
  <c r="G27" i="1"/>
  <c r="H27" i="1"/>
  <c r="C8" i="1"/>
  <c r="D8" i="1" s="1"/>
  <c r="E8" i="1" s="1"/>
  <c r="B7" i="1"/>
  <c r="C14" i="1"/>
  <c r="D14" i="1" s="1"/>
  <c r="E14" i="1" s="1"/>
  <c r="B15" i="1"/>
  <c r="G39" i="1" l="1"/>
  <c r="H39" i="1"/>
  <c r="D40" i="1"/>
  <c r="E40" i="1" s="1"/>
  <c r="F40" i="1"/>
  <c r="C41" i="1"/>
  <c r="B42" i="1"/>
  <c r="G28" i="1"/>
  <c r="H28" i="1"/>
  <c r="D29" i="1"/>
  <c r="E29" i="1" s="1"/>
  <c r="F29" i="1"/>
  <c r="C30" i="1"/>
  <c r="B31" i="1"/>
  <c r="C7" i="1"/>
  <c r="D7" i="1" s="1"/>
  <c r="E7" i="1" s="1"/>
  <c r="B6" i="1"/>
  <c r="C15" i="1"/>
  <c r="D15" i="1" s="1"/>
  <c r="E15" i="1" s="1"/>
  <c r="B16" i="1"/>
  <c r="G40" i="1" l="1"/>
  <c r="H40" i="1"/>
  <c r="D41" i="1"/>
  <c r="E41" i="1" s="1"/>
  <c r="F41" i="1"/>
  <c r="C42" i="1"/>
  <c r="B43" i="1"/>
  <c r="G29" i="1"/>
  <c r="H29" i="1"/>
  <c r="D30" i="1"/>
  <c r="E30" i="1" s="1"/>
  <c r="F30" i="1"/>
  <c r="C31" i="1"/>
  <c r="B32" i="1"/>
  <c r="C6" i="1"/>
  <c r="D6" i="1" s="1"/>
  <c r="E6" i="1" s="1"/>
  <c r="B5" i="1"/>
  <c r="C16" i="1"/>
  <c r="D16" i="1" s="1"/>
  <c r="E16" i="1" s="1"/>
  <c r="B17" i="1"/>
  <c r="G41" i="1" l="1"/>
  <c r="H41" i="1"/>
  <c r="D42" i="1"/>
  <c r="E42" i="1" s="1"/>
  <c r="F42" i="1"/>
  <c r="C43" i="1"/>
  <c r="B44" i="1"/>
  <c r="G30" i="1"/>
  <c r="H30" i="1"/>
  <c r="D31" i="1"/>
  <c r="E31" i="1" s="1"/>
  <c r="F31" i="1"/>
  <c r="C32" i="1"/>
  <c r="B33" i="1"/>
  <c r="C5" i="1"/>
  <c r="D5" i="1" s="1"/>
  <c r="E5" i="1" s="1"/>
  <c r="B4" i="1"/>
  <c r="C17" i="1"/>
  <c r="D17" i="1" s="1"/>
  <c r="E17" i="1" s="1"/>
  <c r="B18" i="1"/>
  <c r="G42" i="1" l="1"/>
  <c r="H42" i="1"/>
  <c r="D43" i="1"/>
  <c r="E43" i="1" s="1"/>
  <c r="F43" i="1"/>
  <c r="C44" i="1"/>
  <c r="B45" i="1"/>
  <c r="G31" i="1"/>
  <c r="H31" i="1"/>
  <c r="D32" i="1"/>
  <c r="E32" i="1" s="1"/>
  <c r="F32" i="1"/>
  <c r="C33" i="1"/>
  <c r="B34" i="1"/>
  <c r="C4" i="1"/>
  <c r="D4" i="1" s="1"/>
  <c r="E4" i="1" s="1"/>
  <c r="B3" i="1"/>
  <c r="C18" i="1"/>
  <c r="D18" i="1" s="1"/>
  <c r="E18" i="1" s="1"/>
  <c r="B19" i="1"/>
  <c r="G43" i="1" l="1"/>
  <c r="H43" i="1"/>
  <c r="D44" i="1"/>
  <c r="E44" i="1" s="1"/>
  <c r="F44" i="1"/>
  <c r="C45" i="1"/>
  <c r="B46" i="1"/>
  <c r="G32" i="1"/>
  <c r="H32" i="1"/>
  <c r="D33" i="1"/>
  <c r="E33" i="1" s="1"/>
  <c r="F33" i="1"/>
  <c r="C34" i="1"/>
  <c r="B35" i="1"/>
  <c r="C3" i="1"/>
  <c r="D3" i="1" s="1"/>
  <c r="E3" i="1" s="1"/>
  <c r="B2" i="1"/>
  <c r="C2" i="1" s="1"/>
  <c r="D2" i="1" s="1"/>
  <c r="E2" i="1" s="1"/>
  <c r="C19" i="1"/>
  <c r="D19" i="1" s="1"/>
  <c r="E19" i="1" s="1"/>
  <c r="B20" i="1"/>
  <c r="G44" i="1" l="1"/>
  <c r="H44" i="1"/>
  <c r="D45" i="1"/>
  <c r="E45" i="1" s="1"/>
  <c r="F45" i="1"/>
  <c r="C46" i="1"/>
  <c r="B47" i="1"/>
  <c r="G33" i="1"/>
  <c r="H33" i="1"/>
  <c r="D34" i="1"/>
  <c r="E34" i="1" s="1"/>
  <c r="F34" i="1"/>
  <c r="C35" i="1"/>
  <c r="B36" i="1"/>
  <c r="C20" i="1"/>
  <c r="D20" i="1" s="1"/>
  <c r="E20" i="1" s="1"/>
  <c r="B21" i="1"/>
  <c r="G45" i="1" l="1"/>
  <c r="H45" i="1"/>
  <c r="D46" i="1"/>
  <c r="E46" i="1" s="1"/>
  <c r="F46" i="1"/>
  <c r="C47" i="1"/>
  <c r="B48" i="1"/>
  <c r="G34" i="1"/>
  <c r="H34" i="1"/>
  <c r="D35" i="1"/>
  <c r="E35" i="1" s="1"/>
  <c r="F35" i="1"/>
  <c r="C36" i="1"/>
  <c r="B37" i="1"/>
  <c r="C37" i="1" s="1"/>
  <c r="C21" i="1"/>
  <c r="D21" i="1" s="1"/>
  <c r="E21" i="1" s="1"/>
  <c r="B22" i="1"/>
  <c r="G46" i="1" l="1"/>
  <c r="H46" i="1"/>
  <c r="D47" i="1"/>
  <c r="E47" i="1" s="1"/>
  <c r="F47" i="1"/>
  <c r="C48" i="1"/>
  <c r="B49" i="1"/>
  <c r="C49" i="1" s="1"/>
  <c r="G35" i="1"/>
  <c r="H35" i="1"/>
  <c r="D36" i="1"/>
  <c r="E36" i="1" s="1"/>
  <c r="F36" i="1"/>
  <c r="D37" i="1"/>
  <c r="E37" i="1" s="1"/>
  <c r="F37" i="1"/>
  <c r="C22" i="1"/>
  <c r="D22" i="1" s="1"/>
  <c r="E22" i="1" s="1"/>
  <c r="B23" i="1"/>
  <c r="G47" i="1" l="1"/>
  <c r="H47" i="1"/>
  <c r="D48" i="1"/>
  <c r="E48" i="1" s="1"/>
  <c r="F48" i="1"/>
  <c r="D49" i="1"/>
  <c r="E49" i="1" s="1"/>
  <c r="F49" i="1"/>
  <c r="G36" i="1"/>
  <c r="H36" i="1"/>
  <c r="G37" i="1"/>
  <c r="H37" i="1"/>
  <c r="C23" i="1"/>
  <c r="D23" i="1" s="1"/>
  <c r="E23" i="1" s="1"/>
  <c r="B24" i="1"/>
  <c r="G48" i="1" l="1"/>
  <c r="H48" i="1"/>
  <c r="H49" i="1"/>
  <c r="G49" i="1"/>
  <c r="C24" i="1"/>
  <c r="D24" i="1" s="1"/>
  <c r="E24" i="1" s="1"/>
  <c r="B25" i="1"/>
  <c r="C25" i="1" s="1"/>
  <c r="D25" i="1" s="1"/>
  <c r="E25" i="1" s="1"/>
</calcChain>
</file>

<file path=xl/sharedStrings.xml><?xml version="1.0" encoding="utf-8"?>
<sst xmlns="http://schemas.openxmlformats.org/spreadsheetml/2006/main" count="56" uniqueCount="20">
  <si>
    <t>C</t>
  </si>
  <si>
    <t>C#</t>
  </si>
  <si>
    <t>D</t>
  </si>
  <si>
    <t>D#</t>
  </si>
  <si>
    <t>E</t>
  </si>
  <si>
    <t>F</t>
  </si>
  <si>
    <t>F#</t>
  </si>
  <si>
    <t>G</t>
  </si>
  <si>
    <t>G#</t>
  </si>
  <si>
    <t>A</t>
  </si>
  <si>
    <t>A#</t>
  </si>
  <si>
    <t>B</t>
  </si>
  <si>
    <t>Note</t>
  </si>
  <si>
    <t>Iterations</t>
  </si>
  <si>
    <t>Freq.
(Hz)</t>
  </si>
  <si>
    <t>Period
(ms.)</t>
  </si>
  <si>
    <t>Half Period
(ms.)</t>
  </si>
  <si>
    <t>Loops
per
sec.</t>
  </si>
  <si>
    <t>Loops
per
100ms</t>
  </si>
  <si>
    <t>Loops
per
50ms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</si>
</sst>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2" fontId="0" fillId="2" borderId="0" xfId="0" applyNumberFormat="1" applyFill="1"/>
    <xf numFmtId="0" fontId="0" fillId="0" borderId="0" xfId="0" applyAlignment="1">
      <alignment horizontal="center" vertical="top"/>
    </xf>
    <xf numFmtId="2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top" wrapText="1"/>
    </xf>
    <xf numFmtId="1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6813B-94F5-45E1-A799-3EDA6A7EB35F}">
  <dimension ref="A1:H49"/>
  <sheetViews>
    <sheetView tabSelected="1" topLeftCell="A34" workbookViewId="0">
      <selection activeCell="H39" sqref="H39"/>
    </sheetView>
  </sheetViews>
  <sheetFormatPr defaultRowHeight="15" x14ac:dyDescent="0.25"/>
  <cols>
    <col min="2" max="4" width="9.140625" style="1" customWidth="1"/>
    <col min="6" max="7" width="9.140625" style="7" customWidth="1"/>
    <col min="8" max="8" width="9.140625" style="8"/>
  </cols>
  <sheetData>
    <row r="1" spans="1:8" s="3" customFormat="1" ht="48.75" customHeight="1" x14ac:dyDescent="0.25">
      <c r="A1" s="3" t="s">
        <v>12</v>
      </c>
      <c r="B1" s="4" t="s">
        <v>14</v>
      </c>
      <c r="C1" s="4" t="s">
        <v>15</v>
      </c>
      <c r="D1" s="4" t="s">
        <v>16</v>
      </c>
      <c r="E1" s="3" t="s">
        <v>13</v>
      </c>
      <c r="F1" s="6" t="s">
        <v>17</v>
      </c>
      <c r="G1" s="6" t="s">
        <v>18</v>
      </c>
      <c r="H1" s="5" t="s">
        <v>19</v>
      </c>
    </row>
    <row r="2" spans="1:8" x14ac:dyDescent="0.25">
      <c r="A2" t="s">
        <v>0</v>
      </c>
      <c r="B2" s="1">
        <f t="shared" ref="B2:B9" si="0">B3/POWER(2,1/12)</f>
        <v>261.62556530059851</v>
      </c>
      <c r="C2" s="1">
        <f t="shared" ref="C2:C11" si="1">1/B2*1000</f>
        <v>3.8222564329714319</v>
      </c>
      <c r="D2" s="1">
        <f>C2/2</f>
        <v>1.911128216485716</v>
      </c>
      <c r="E2">
        <f t="shared" ref="E2:E10" si="2">ROUND(D2*1000/9,0)</f>
        <v>212</v>
      </c>
      <c r="F2" s="7">
        <f>1000/C2</f>
        <v>261.62556530059851</v>
      </c>
      <c r="G2" s="7">
        <f>F2/10</f>
        <v>26.162556530059852</v>
      </c>
      <c r="H2" s="8">
        <f>F2/20</f>
        <v>13.081278265029926</v>
      </c>
    </row>
    <row r="3" spans="1:8" x14ac:dyDescent="0.25">
      <c r="A3" t="s">
        <v>1</v>
      </c>
      <c r="B3" s="1">
        <f t="shared" si="0"/>
        <v>277.18263097687196</v>
      </c>
      <c r="C3" s="1">
        <f t="shared" si="1"/>
        <v>3.6077296635640912</v>
      </c>
      <c r="D3" s="1">
        <f t="shared" ref="D1:D49" si="3">C3/2</f>
        <v>1.8038648317820456</v>
      </c>
      <c r="E3">
        <f t="shared" si="2"/>
        <v>200</v>
      </c>
      <c r="F3" s="7">
        <f t="shared" ref="F3:F25" si="4">1000/C3</f>
        <v>277.18263097687196</v>
      </c>
      <c r="G3" s="7">
        <f t="shared" ref="G1:G49" si="5">F3/10</f>
        <v>27.718263097687196</v>
      </c>
      <c r="H3" s="8">
        <f t="shared" ref="H3:H25" si="6">F3/20</f>
        <v>13.859131548843598</v>
      </c>
    </row>
    <row r="4" spans="1:8" x14ac:dyDescent="0.25">
      <c r="A4" t="s">
        <v>2</v>
      </c>
      <c r="B4" s="1">
        <f t="shared" si="0"/>
        <v>293.66476791740746</v>
      </c>
      <c r="C4" s="1">
        <f t="shared" si="1"/>
        <v>3.4052433565379139</v>
      </c>
      <c r="D4" s="1">
        <f t="shared" si="3"/>
        <v>1.7026216782689569</v>
      </c>
      <c r="E4">
        <f t="shared" si="2"/>
        <v>189</v>
      </c>
      <c r="F4" s="7">
        <f t="shared" si="4"/>
        <v>293.66476791740746</v>
      </c>
      <c r="G4" s="7">
        <f t="shared" si="5"/>
        <v>29.366476791740745</v>
      </c>
      <c r="H4" s="8">
        <f t="shared" si="6"/>
        <v>14.683238395870372</v>
      </c>
    </row>
    <row r="5" spans="1:8" x14ac:dyDescent="0.25">
      <c r="A5" t="s">
        <v>3</v>
      </c>
      <c r="B5" s="1">
        <f t="shared" si="0"/>
        <v>311.12698372208081</v>
      </c>
      <c r="C5" s="1">
        <f t="shared" si="1"/>
        <v>3.214121732666126</v>
      </c>
      <c r="D5" s="1">
        <f t="shared" si="3"/>
        <v>1.607060866333063</v>
      </c>
      <c r="E5">
        <f t="shared" si="2"/>
        <v>179</v>
      </c>
      <c r="F5" s="7">
        <f t="shared" si="4"/>
        <v>311.12698372208081</v>
      </c>
      <c r="G5" s="7">
        <f t="shared" si="5"/>
        <v>31.112698372208079</v>
      </c>
      <c r="H5" s="8">
        <f t="shared" si="6"/>
        <v>15.55634918610404</v>
      </c>
    </row>
    <row r="6" spans="1:8" x14ac:dyDescent="0.25">
      <c r="A6" t="s">
        <v>4</v>
      </c>
      <c r="B6" s="1">
        <f t="shared" si="0"/>
        <v>329.62755691286986</v>
      </c>
      <c r="C6" s="1">
        <f t="shared" si="1"/>
        <v>3.0337269412955332</v>
      </c>
      <c r="D6" s="1">
        <f t="shared" si="3"/>
        <v>1.5168634706477666</v>
      </c>
      <c r="E6">
        <f t="shared" si="2"/>
        <v>169</v>
      </c>
      <c r="F6" s="7">
        <f t="shared" si="4"/>
        <v>329.62755691286986</v>
      </c>
      <c r="G6" s="7">
        <f t="shared" si="5"/>
        <v>32.962755691286986</v>
      </c>
      <c r="H6" s="8">
        <f t="shared" si="6"/>
        <v>16.481377845643493</v>
      </c>
    </row>
    <row r="7" spans="1:8" x14ac:dyDescent="0.25">
      <c r="A7" t="s">
        <v>5</v>
      </c>
      <c r="B7" s="1">
        <f t="shared" si="0"/>
        <v>349.22823143300383</v>
      </c>
      <c r="C7" s="1">
        <f t="shared" si="1"/>
        <v>2.8634569315792575</v>
      </c>
      <c r="D7" s="1">
        <f t="shared" si="3"/>
        <v>1.4317284657896288</v>
      </c>
      <c r="E7">
        <f t="shared" si="2"/>
        <v>159</v>
      </c>
      <c r="F7" s="7">
        <f t="shared" si="4"/>
        <v>349.22823143300383</v>
      </c>
      <c r="G7" s="7">
        <f t="shared" si="5"/>
        <v>34.922823143300384</v>
      </c>
      <c r="H7" s="8">
        <f t="shared" si="6"/>
        <v>17.461411571650192</v>
      </c>
    </row>
    <row r="8" spans="1:8" x14ac:dyDescent="0.25">
      <c r="A8" t="s">
        <v>6</v>
      </c>
      <c r="B8" s="1">
        <f t="shared" si="0"/>
        <v>369.99442271163434</v>
      </c>
      <c r="C8" s="1">
        <f t="shared" si="1"/>
        <v>2.7027434431880031</v>
      </c>
      <c r="D8" s="1">
        <f t="shared" si="3"/>
        <v>1.3513717215940015</v>
      </c>
      <c r="E8">
        <f t="shared" si="2"/>
        <v>150</v>
      </c>
      <c r="F8" s="7">
        <f t="shared" si="4"/>
        <v>369.99442271163429</v>
      </c>
      <c r="G8" s="7">
        <f t="shared" si="5"/>
        <v>36.999442271163431</v>
      </c>
      <c r="H8" s="8">
        <f t="shared" si="6"/>
        <v>18.499721135581716</v>
      </c>
    </row>
    <row r="9" spans="1:8" x14ac:dyDescent="0.25">
      <c r="A9" t="s">
        <v>7</v>
      </c>
      <c r="B9" s="1">
        <f t="shared" si="0"/>
        <v>391.99543598174927</v>
      </c>
      <c r="C9" s="1">
        <f t="shared" si="1"/>
        <v>2.5510501097940299</v>
      </c>
      <c r="D9" s="1">
        <f t="shared" si="3"/>
        <v>1.275525054897015</v>
      </c>
      <c r="E9">
        <f t="shared" si="2"/>
        <v>142</v>
      </c>
      <c r="F9" s="7">
        <f t="shared" si="4"/>
        <v>391.99543598174921</v>
      </c>
      <c r="G9" s="7">
        <f t="shared" si="5"/>
        <v>39.19954359817492</v>
      </c>
      <c r="H9" s="8">
        <f t="shared" si="6"/>
        <v>19.59977179908746</v>
      </c>
    </row>
    <row r="10" spans="1:8" x14ac:dyDescent="0.25">
      <c r="A10" t="s">
        <v>8</v>
      </c>
      <c r="B10" s="1">
        <f>B11/POWER(2,1/12)</f>
        <v>415.30469757994513</v>
      </c>
      <c r="C10" s="1">
        <f t="shared" si="1"/>
        <v>2.4078706689983984</v>
      </c>
      <c r="D10" s="1">
        <f t="shared" si="3"/>
        <v>1.2039353344991992</v>
      </c>
      <c r="E10">
        <f t="shared" si="2"/>
        <v>134</v>
      </c>
      <c r="F10" s="7">
        <f t="shared" si="4"/>
        <v>415.30469757994513</v>
      </c>
      <c r="G10" s="7">
        <f t="shared" si="5"/>
        <v>41.53046975799451</v>
      </c>
      <c r="H10" s="8">
        <f t="shared" si="6"/>
        <v>20.765234878997255</v>
      </c>
    </row>
    <row r="11" spans="1:8" x14ac:dyDescent="0.25">
      <c r="A11" t="s">
        <v>9</v>
      </c>
      <c r="B11" s="2">
        <v>440</v>
      </c>
      <c r="C11" s="1">
        <f t="shared" si="1"/>
        <v>2.2727272727272725</v>
      </c>
      <c r="D11" s="1">
        <f t="shared" si="3"/>
        <v>1.1363636363636362</v>
      </c>
      <c r="E11">
        <f>ROUND(D11*1000/9,0)</f>
        <v>126</v>
      </c>
      <c r="F11" s="7">
        <f t="shared" si="4"/>
        <v>440.00000000000006</v>
      </c>
      <c r="G11" s="7">
        <f t="shared" si="5"/>
        <v>44.000000000000007</v>
      </c>
      <c r="H11" s="8">
        <f t="shared" si="6"/>
        <v>22.000000000000004</v>
      </c>
    </row>
    <row r="12" spans="1:8" x14ac:dyDescent="0.25">
      <c r="A12" t="s">
        <v>10</v>
      </c>
      <c r="B12" s="1">
        <f>B11*POWER(2,1/12)</f>
        <v>466.16376151808993</v>
      </c>
      <c r="C12" s="1">
        <f>1/B12*1000</f>
        <v>2.1451688924583943</v>
      </c>
      <c r="D12" s="1">
        <f t="shared" si="3"/>
        <v>1.0725844462291971</v>
      </c>
      <c r="E12">
        <f t="shared" ref="E12:E49" si="7">ROUND(D12*1000/9,0)</f>
        <v>119</v>
      </c>
      <c r="F12" s="7">
        <f t="shared" si="4"/>
        <v>466.16376151808993</v>
      </c>
      <c r="G12" s="7">
        <f t="shared" si="5"/>
        <v>46.616376151808993</v>
      </c>
      <c r="H12" s="8">
        <f t="shared" si="6"/>
        <v>23.308188075904496</v>
      </c>
    </row>
    <row r="13" spans="1:8" x14ac:dyDescent="0.25">
      <c r="A13" t="s">
        <v>11</v>
      </c>
      <c r="B13" s="1">
        <f>B12*POWER(2,1/12)</f>
        <v>493.88330125612413</v>
      </c>
      <c r="C13" s="1">
        <f>1/B13*1000</f>
        <v>2.0247698139553165</v>
      </c>
      <c r="D13" s="1">
        <f t="shared" si="3"/>
        <v>1.0123849069776583</v>
      </c>
      <c r="E13">
        <f t="shared" si="7"/>
        <v>112</v>
      </c>
      <c r="F13" s="7">
        <f t="shared" si="4"/>
        <v>493.88330125612413</v>
      </c>
      <c r="G13" s="7">
        <f t="shared" si="5"/>
        <v>49.388330125612413</v>
      </c>
      <c r="H13" s="8">
        <f t="shared" si="6"/>
        <v>24.694165062806206</v>
      </c>
    </row>
    <row r="14" spans="1:8" x14ac:dyDescent="0.25">
      <c r="A14" t="s">
        <v>0</v>
      </c>
      <c r="B14" s="1">
        <f t="shared" ref="B14:B25" si="8">B13*POWER(2,1/12)</f>
        <v>523.25113060119736</v>
      </c>
      <c r="C14" s="1">
        <f>1/B14*1000</f>
        <v>1.9111282164857146</v>
      </c>
      <c r="D14" s="1">
        <f t="shared" si="3"/>
        <v>0.95556410824285731</v>
      </c>
      <c r="E14">
        <f t="shared" si="7"/>
        <v>106</v>
      </c>
      <c r="F14" s="7">
        <f t="shared" si="4"/>
        <v>523.25113060119736</v>
      </c>
      <c r="G14" s="7">
        <f t="shared" si="5"/>
        <v>52.325113060119733</v>
      </c>
      <c r="H14" s="8">
        <f t="shared" si="6"/>
        <v>26.162556530059867</v>
      </c>
    </row>
    <row r="15" spans="1:8" x14ac:dyDescent="0.25">
      <c r="A15" t="s">
        <v>1</v>
      </c>
      <c r="B15" s="1">
        <f t="shared" si="8"/>
        <v>554.36526195374427</v>
      </c>
      <c r="C15" s="1">
        <f t="shared" ref="C15:C49" si="9">1/B15*1000</f>
        <v>1.8038648317820445</v>
      </c>
      <c r="D15" s="1">
        <f t="shared" si="3"/>
        <v>0.90193241589102224</v>
      </c>
      <c r="E15">
        <f t="shared" si="7"/>
        <v>100</v>
      </c>
      <c r="F15" s="7">
        <f t="shared" si="4"/>
        <v>554.36526195374427</v>
      </c>
      <c r="G15" s="7">
        <f t="shared" si="5"/>
        <v>55.436526195374427</v>
      </c>
      <c r="H15" s="8">
        <f>F15/20</f>
        <v>27.718263097687213</v>
      </c>
    </row>
    <row r="16" spans="1:8" x14ac:dyDescent="0.25">
      <c r="A16" t="s">
        <v>2</v>
      </c>
      <c r="B16" s="1">
        <f t="shared" si="8"/>
        <v>587.32953583481526</v>
      </c>
      <c r="C16" s="1">
        <f t="shared" si="9"/>
        <v>1.7026216782689558</v>
      </c>
      <c r="D16" s="1">
        <f t="shared" si="3"/>
        <v>0.85131083913447791</v>
      </c>
      <c r="E16">
        <f t="shared" si="7"/>
        <v>95</v>
      </c>
      <c r="F16" s="7">
        <f t="shared" si="4"/>
        <v>587.32953583481526</v>
      </c>
      <c r="G16" s="7">
        <f t="shared" si="5"/>
        <v>58.732953583481525</v>
      </c>
      <c r="H16" s="8">
        <f t="shared" si="6"/>
        <v>29.366476791740762</v>
      </c>
    </row>
    <row r="17" spans="1:8" x14ac:dyDescent="0.25">
      <c r="A17" t="s">
        <v>3</v>
      </c>
      <c r="B17" s="1">
        <f t="shared" si="8"/>
        <v>622.25396744416196</v>
      </c>
      <c r="C17" s="1">
        <f t="shared" si="9"/>
        <v>1.6070608663330621</v>
      </c>
      <c r="D17" s="1">
        <f t="shared" si="3"/>
        <v>0.80353043316653106</v>
      </c>
      <c r="E17">
        <f t="shared" si="7"/>
        <v>89</v>
      </c>
      <c r="F17" s="7">
        <f t="shared" si="4"/>
        <v>622.25396744416196</v>
      </c>
      <c r="G17" s="7">
        <f t="shared" si="5"/>
        <v>62.225396744416194</v>
      </c>
      <c r="H17" s="8">
        <f t="shared" si="6"/>
        <v>31.112698372208097</v>
      </c>
    </row>
    <row r="18" spans="1:8" x14ac:dyDescent="0.25">
      <c r="A18" t="s">
        <v>4</v>
      </c>
      <c r="B18" s="1">
        <f t="shared" si="8"/>
        <v>659.25511382574007</v>
      </c>
      <c r="C18" s="1">
        <f t="shared" si="9"/>
        <v>1.5168634706477657</v>
      </c>
      <c r="D18" s="1">
        <f t="shared" si="3"/>
        <v>0.75843173532388286</v>
      </c>
      <c r="E18">
        <f t="shared" si="7"/>
        <v>84</v>
      </c>
      <c r="F18" s="7">
        <f t="shared" si="4"/>
        <v>659.25511382574007</v>
      </c>
      <c r="G18" s="7">
        <f t="shared" si="5"/>
        <v>65.925511382574001</v>
      </c>
      <c r="H18" s="8">
        <f t="shared" si="6"/>
        <v>32.962755691287001</v>
      </c>
    </row>
    <row r="19" spans="1:8" x14ac:dyDescent="0.25">
      <c r="A19" t="s">
        <v>5</v>
      </c>
      <c r="B19" s="1">
        <f t="shared" si="8"/>
        <v>698.456462866008</v>
      </c>
      <c r="C19" s="1">
        <f t="shared" si="9"/>
        <v>1.4317284657896281</v>
      </c>
      <c r="D19" s="1">
        <f t="shared" si="3"/>
        <v>0.71586423289481405</v>
      </c>
      <c r="E19">
        <f t="shared" si="7"/>
        <v>80</v>
      </c>
      <c r="F19" s="7">
        <f t="shared" si="4"/>
        <v>698.456462866008</v>
      </c>
      <c r="G19" s="7">
        <f t="shared" si="5"/>
        <v>69.845646286600797</v>
      </c>
      <c r="H19" s="8">
        <f t="shared" si="6"/>
        <v>34.922823143300398</v>
      </c>
    </row>
    <row r="20" spans="1:8" x14ac:dyDescent="0.25">
      <c r="A20" t="s">
        <v>6</v>
      </c>
      <c r="B20" s="1">
        <f t="shared" si="8"/>
        <v>739.98884542326903</v>
      </c>
      <c r="C20" s="1">
        <f t="shared" si="9"/>
        <v>1.3513717215940009</v>
      </c>
      <c r="D20" s="1">
        <f t="shared" si="3"/>
        <v>0.67568586079700044</v>
      </c>
      <c r="E20">
        <f t="shared" si="7"/>
        <v>75</v>
      </c>
      <c r="F20" s="7">
        <f t="shared" si="4"/>
        <v>739.98884542326903</v>
      </c>
      <c r="G20" s="7">
        <f t="shared" si="5"/>
        <v>73.998884542326905</v>
      </c>
      <c r="H20" s="8">
        <f t="shared" si="6"/>
        <v>36.999442271163453</v>
      </c>
    </row>
    <row r="21" spans="1:8" x14ac:dyDescent="0.25">
      <c r="A21" t="s">
        <v>7</v>
      </c>
      <c r="B21" s="1">
        <f t="shared" si="8"/>
        <v>783.99087196349888</v>
      </c>
      <c r="C21" s="1">
        <f t="shared" si="9"/>
        <v>1.2755250548970143</v>
      </c>
      <c r="D21" s="1">
        <f t="shared" si="3"/>
        <v>0.63776252744850714</v>
      </c>
      <c r="E21">
        <f t="shared" si="7"/>
        <v>71</v>
      </c>
      <c r="F21" s="7">
        <f t="shared" si="4"/>
        <v>783.99087196349888</v>
      </c>
      <c r="G21" s="7">
        <f t="shared" si="5"/>
        <v>78.399087196349882</v>
      </c>
      <c r="H21" s="8">
        <f t="shared" si="6"/>
        <v>39.199543598174941</v>
      </c>
    </row>
    <row r="22" spans="1:8" x14ac:dyDescent="0.25">
      <c r="A22" t="s">
        <v>8</v>
      </c>
      <c r="B22" s="1">
        <f t="shared" si="8"/>
        <v>830.6093951598906</v>
      </c>
      <c r="C22" s="1">
        <f t="shared" si="9"/>
        <v>1.2039353344991988</v>
      </c>
      <c r="D22" s="1">
        <f t="shared" si="3"/>
        <v>0.60196766724959938</v>
      </c>
      <c r="E22">
        <f t="shared" si="7"/>
        <v>67</v>
      </c>
      <c r="F22" s="7">
        <f t="shared" si="4"/>
        <v>830.6093951598906</v>
      </c>
      <c r="G22" s="7">
        <f t="shared" si="5"/>
        <v>83.060939515989062</v>
      </c>
      <c r="H22" s="8">
        <f t="shared" si="6"/>
        <v>41.530469757994531</v>
      </c>
    </row>
    <row r="23" spans="1:8" x14ac:dyDescent="0.25">
      <c r="A23" t="s">
        <v>9</v>
      </c>
      <c r="B23" s="1">
        <f t="shared" si="8"/>
        <v>880.00000000000034</v>
      </c>
      <c r="C23" s="1">
        <f t="shared" si="9"/>
        <v>1.1363636363636358</v>
      </c>
      <c r="D23" s="1">
        <f t="shared" si="3"/>
        <v>0.5681818181818179</v>
      </c>
      <c r="E23">
        <f t="shared" si="7"/>
        <v>63</v>
      </c>
      <c r="F23" s="7">
        <f t="shared" si="4"/>
        <v>880.00000000000045</v>
      </c>
      <c r="G23" s="7">
        <f t="shared" si="5"/>
        <v>88.000000000000043</v>
      </c>
      <c r="H23" s="8">
        <f t="shared" si="6"/>
        <v>44.000000000000021</v>
      </c>
    </row>
    <row r="24" spans="1:8" x14ac:dyDescent="0.25">
      <c r="A24" t="s">
        <v>10</v>
      </c>
      <c r="B24" s="1">
        <f t="shared" si="8"/>
        <v>932.3275230361802</v>
      </c>
      <c r="C24" s="1">
        <f t="shared" si="9"/>
        <v>1.0725844462291967</v>
      </c>
      <c r="D24" s="1">
        <f t="shared" si="3"/>
        <v>0.53629222311459834</v>
      </c>
      <c r="E24">
        <f t="shared" si="7"/>
        <v>60</v>
      </c>
      <c r="F24" s="7">
        <f t="shared" si="4"/>
        <v>932.3275230361802</v>
      </c>
      <c r="G24" s="7">
        <f t="shared" si="5"/>
        <v>93.232752303618014</v>
      </c>
      <c r="H24" s="8">
        <f t="shared" si="6"/>
        <v>46.616376151809007</v>
      </c>
    </row>
    <row r="25" spans="1:8" x14ac:dyDescent="0.25">
      <c r="A25" t="s">
        <v>11</v>
      </c>
      <c r="B25" s="1">
        <f t="shared" si="8"/>
        <v>987.7666025122486</v>
      </c>
      <c r="C25" s="1">
        <f t="shared" si="9"/>
        <v>1.012384906977658</v>
      </c>
      <c r="D25" s="1">
        <f t="shared" si="3"/>
        <v>0.50619245348882902</v>
      </c>
      <c r="E25">
        <f t="shared" si="7"/>
        <v>56</v>
      </c>
      <c r="F25" s="7">
        <f t="shared" si="4"/>
        <v>987.76660251224848</v>
      </c>
      <c r="G25" s="7">
        <f t="shared" si="5"/>
        <v>98.776660251224854</v>
      </c>
      <c r="H25" s="8">
        <f t="shared" si="6"/>
        <v>49.388330125612427</v>
      </c>
    </row>
    <row r="26" spans="1:8" x14ac:dyDescent="0.25">
      <c r="A26" t="s">
        <v>0</v>
      </c>
      <c r="B26" s="1">
        <f t="shared" ref="B26" si="10">B25*POWER(2,1/12)</f>
        <v>1046.5022612023949</v>
      </c>
      <c r="C26" s="1">
        <f t="shared" si="9"/>
        <v>0.95556410824285709</v>
      </c>
      <c r="D26" s="1">
        <f t="shared" si="3"/>
        <v>0.47778205412142855</v>
      </c>
      <c r="E26">
        <f t="shared" si="7"/>
        <v>53</v>
      </c>
      <c r="F26" s="7">
        <f t="shared" ref="F26" si="11">1000/C26</f>
        <v>1046.5022612023949</v>
      </c>
      <c r="G26" s="7">
        <f t="shared" si="5"/>
        <v>104.65022612023949</v>
      </c>
      <c r="H26" s="8">
        <f t="shared" ref="H26" si="12">F26/20</f>
        <v>52.325113060119747</v>
      </c>
    </row>
    <row r="27" spans="1:8" x14ac:dyDescent="0.25">
      <c r="A27" t="s">
        <v>1</v>
      </c>
      <c r="B27" s="1">
        <f t="shared" ref="B27:B37" si="13">B26*POWER(2,1/12)</f>
        <v>1108.7305239074888</v>
      </c>
      <c r="C27" s="1">
        <f t="shared" si="9"/>
        <v>0.90193241589102202</v>
      </c>
      <c r="D27" s="1">
        <f t="shared" si="3"/>
        <v>0.45096620794551101</v>
      </c>
      <c r="E27">
        <f t="shared" si="7"/>
        <v>50</v>
      </c>
      <c r="F27" s="7">
        <f t="shared" ref="F27:F37" si="14">1000/C27</f>
        <v>1108.730523907489</v>
      </c>
      <c r="G27" s="7">
        <f t="shared" si="5"/>
        <v>110.8730523907489</v>
      </c>
      <c r="H27" s="8">
        <f t="shared" ref="H27:H37" si="15">F27/20</f>
        <v>55.436526195374448</v>
      </c>
    </row>
    <row r="28" spans="1:8" x14ac:dyDescent="0.25">
      <c r="A28" t="s">
        <v>2</v>
      </c>
      <c r="B28" s="1">
        <f t="shared" si="13"/>
        <v>1174.6590716696307</v>
      </c>
      <c r="C28" s="1">
        <f t="shared" si="9"/>
        <v>0.85131083913447769</v>
      </c>
      <c r="D28" s="1">
        <f t="shared" si="3"/>
        <v>0.42565541956723885</v>
      </c>
      <c r="E28">
        <f t="shared" si="7"/>
        <v>47</v>
      </c>
      <c r="F28" s="7">
        <f t="shared" si="14"/>
        <v>1174.6590716696307</v>
      </c>
      <c r="G28" s="7">
        <f t="shared" si="5"/>
        <v>117.46590716696308</v>
      </c>
      <c r="H28" s="8">
        <f t="shared" si="15"/>
        <v>58.732953583481539</v>
      </c>
    </row>
    <row r="29" spans="1:8" x14ac:dyDescent="0.25">
      <c r="A29" t="s">
        <v>3</v>
      </c>
      <c r="B29" s="1">
        <f t="shared" si="13"/>
        <v>1244.5079348883241</v>
      </c>
      <c r="C29" s="1">
        <f t="shared" si="9"/>
        <v>0.80353043316653094</v>
      </c>
      <c r="D29" s="1">
        <f t="shared" si="3"/>
        <v>0.40176521658326547</v>
      </c>
      <c r="E29">
        <f t="shared" si="7"/>
        <v>45</v>
      </c>
      <c r="F29" s="7">
        <f t="shared" si="14"/>
        <v>1244.5079348883241</v>
      </c>
      <c r="G29" s="7">
        <f t="shared" si="5"/>
        <v>124.45079348883242</v>
      </c>
      <c r="H29" s="8">
        <f t="shared" si="15"/>
        <v>62.225396744416209</v>
      </c>
    </row>
    <row r="30" spans="1:8" x14ac:dyDescent="0.25">
      <c r="A30" t="s">
        <v>4</v>
      </c>
      <c r="B30" s="1">
        <f t="shared" si="13"/>
        <v>1318.5102276514804</v>
      </c>
      <c r="C30" s="1">
        <f t="shared" si="9"/>
        <v>0.75843173532388275</v>
      </c>
      <c r="D30" s="1">
        <f t="shared" si="3"/>
        <v>0.37921586766194137</v>
      </c>
      <c r="E30">
        <f t="shared" si="7"/>
        <v>42</v>
      </c>
      <c r="F30" s="7">
        <f t="shared" si="14"/>
        <v>1318.5102276514804</v>
      </c>
      <c r="G30" s="7">
        <f t="shared" si="5"/>
        <v>131.85102276514803</v>
      </c>
      <c r="H30" s="8">
        <f t="shared" si="15"/>
        <v>65.925511382574015</v>
      </c>
    </row>
    <row r="31" spans="1:8" x14ac:dyDescent="0.25">
      <c r="A31" t="s">
        <v>5</v>
      </c>
      <c r="B31" s="1">
        <f t="shared" si="13"/>
        <v>1396.9129257320162</v>
      </c>
      <c r="C31" s="1">
        <f t="shared" si="9"/>
        <v>0.71586423289481393</v>
      </c>
      <c r="D31" s="1">
        <f t="shared" si="3"/>
        <v>0.35793211644740697</v>
      </c>
      <c r="E31">
        <f t="shared" si="7"/>
        <v>40</v>
      </c>
      <c r="F31" s="7">
        <f t="shared" si="14"/>
        <v>1396.9129257320162</v>
      </c>
      <c r="G31" s="7">
        <f t="shared" si="5"/>
        <v>139.69129257320162</v>
      </c>
      <c r="H31" s="8">
        <f t="shared" si="15"/>
        <v>69.845646286600811</v>
      </c>
    </row>
    <row r="32" spans="1:8" x14ac:dyDescent="0.25">
      <c r="A32" t="s">
        <v>6</v>
      </c>
      <c r="B32" s="1">
        <f t="shared" si="13"/>
        <v>1479.9776908465383</v>
      </c>
      <c r="C32" s="1">
        <f t="shared" si="9"/>
        <v>0.67568586079700033</v>
      </c>
      <c r="D32" s="1">
        <f t="shared" si="3"/>
        <v>0.33784293039850016</v>
      </c>
      <c r="E32">
        <f t="shared" si="7"/>
        <v>38</v>
      </c>
      <c r="F32" s="7">
        <f t="shared" si="14"/>
        <v>1479.9776908465383</v>
      </c>
      <c r="G32" s="7">
        <f t="shared" si="5"/>
        <v>147.99776908465384</v>
      </c>
      <c r="H32" s="8">
        <f t="shared" si="15"/>
        <v>73.99888454232692</v>
      </c>
    </row>
    <row r="33" spans="1:8" x14ac:dyDescent="0.25">
      <c r="A33" t="s">
        <v>7</v>
      </c>
      <c r="B33" s="1">
        <f t="shared" si="13"/>
        <v>1567.981743926998</v>
      </c>
      <c r="C33" s="1">
        <f t="shared" si="9"/>
        <v>0.63776252744850703</v>
      </c>
      <c r="D33" s="1">
        <f t="shared" si="3"/>
        <v>0.31888126372425352</v>
      </c>
      <c r="E33">
        <f t="shared" si="7"/>
        <v>35</v>
      </c>
      <c r="F33" s="7">
        <f t="shared" si="14"/>
        <v>1567.981743926998</v>
      </c>
      <c r="G33" s="7">
        <f t="shared" si="5"/>
        <v>156.79817439269979</v>
      </c>
      <c r="H33" s="8">
        <f t="shared" si="15"/>
        <v>78.399087196349896</v>
      </c>
    </row>
    <row r="34" spans="1:8" x14ac:dyDescent="0.25">
      <c r="A34" t="s">
        <v>8</v>
      </c>
      <c r="B34" s="1">
        <f t="shared" si="13"/>
        <v>1661.2187903197814</v>
      </c>
      <c r="C34" s="1">
        <f t="shared" si="9"/>
        <v>0.60196766724959927</v>
      </c>
      <c r="D34" s="1">
        <f t="shared" si="3"/>
        <v>0.30098383362479963</v>
      </c>
      <c r="E34">
        <f t="shared" si="7"/>
        <v>33</v>
      </c>
      <c r="F34" s="7">
        <f t="shared" si="14"/>
        <v>1661.2187903197814</v>
      </c>
      <c r="G34" s="7">
        <f t="shared" si="5"/>
        <v>166.12187903197815</v>
      </c>
      <c r="H34" s="8">
        <f t="shared" si="15"/>
        <v>83.060939515989077</v>
      </c>
    </row>
    <row r="35" spans="1:8" x14ac:dyDescent="0.25">
      <c r="A35" t="s">
        <v>9</v>
      </c>
      <c r="B35" s="1">
        <f t="shared" si="13"/>
        <v>1760.0000000000009</v>
      </c>
      <c r="C35" s="1">
        <f t="shared" si="9"/>
        <v>0.5681818181818179</v>
      </c>
      <c r="D35" s="1">
        <f t="shared" si="3"/>
        <v>0.28409090909090895</v>
      </c>
      <c r="E35">
        <f t="shared" si="7"/>
        <v>32</v>
      </c>
      <c r="F35" s="7">
        <f t="shared" si="14"/>
        <v>1760.0000000000009</v>
      </c>
      <c r="G35" s="7">
        <f t="shared" si="5"/>
        <v>176.00000000000009</v>
      </c>
      <c r="H35" s="8">
        <f t="shared" si="15"/>
        <v>88.000000000000043</v>
      </c>
    </row>
    <row r="36" spans="1:8" x14ac:dyDescent="0.25">
      <c r="A36" t="s">
        <v>10</v>
      </c>
      <c r="B36" s="1">
        <f t="shared" si="13"/>
        <v>1864.6550460723606</v>
      </c>
      <c r="C36" s="1">
        <f t="shared" si="9"/>
        <v>0.53629222311459823</v>
      </c>
      <c r="D36" s="1">
        <f t="shared" si="3"/>
        <v>0.26814611155729912</v>
      </c>
      <c r="E36">
        <f t="shared" si="7"/>
        <v>30</v>
      </c>
      <c r="F36" s="7">
        <f t="shared" si="14"/>
        <v>1864.6550460723608</v>
      </c>
      <c r="G36" s="7">
        <f t="shared" si="5"/>
        <v>186.46550460723608</v>
      </c>
      <c r="H36" s="8">
        <f t="shared" si="15"/>
        <v>93.232752303618042</v>
      </c>
    </row>
    <row r="37" spans="1:8" x14ac:dyDescent="0.25">
      <c r="A37" t="s">
        <v>11</v>
      </c>
      <c r="B37" s="1">
        <f t="shared" si="13"/>
        <v>1975.5332050244976</v>
      </c>
      <c r="C37" s="1">
        <f t="shared" si="9"/>
        <v>0.50619245348882891</v>
      </c>
      <c r="D37" s="1">
        <f t="shared" si="3"/>
        <v>0.25309622674441445</v>
      </c>
      <c r="E37">
        <f t="shared" si="7"/>
        <v>28</v>
      </c>
      <c r="F37" s="7">
        <f t="shared" si="14"/>
        <v>1975.5332050244974</v>
      </c>
      <c r="G37" s="7">
        <f t="shared" si="5"/>
        <v>197.55332050244974</v>
      </c>
      <c r="H37" s="8">
        <f t="shared" si="15"/>
        <v>98.776660251224868</v>
      </c>
    </row>
    <row r="38" spans="1:8" x14ac:dyDescent="0.25">
      <c r="A38" t="s">
        <v>0</v>
      </c>
      <c r="B38" s="1">
        <f t="shared" ref="B38:B49" si="16">B37*POWER(2,1/12)</f>
        <v>2093.0045224047904</v>
      </c>
      <c r="C38" s="1">
        <f t="shared" si="9"/>
        <v>0.47778205412142843</v>
      </c>
      <c r="D38" s="1">
        <f t="shared" si="3"/>
        <v>0.23889102706071422</v>
      </c>
      <c r="E38">
        <f t="shared" si="7"/>
        <v>27</v>
      </c>
      <c r="F38" s="7">
        <f t="shared" ref="F38:F49" si="17">1000/C38</f>
        <v>2093.0045224047904</v>
      </c>
      <c r="G38" s="7">
        <f t="shared" si="5"/>
        <v>209.30045224047905</v>
      </c>
      <c r="H38" s="8">
        <f t="shared" ref="H38:H49" si="18">F38/20</f>
        <v>104.65022612023952</v>
      </c>
    </row>
    <row r="39" spans="1:8" x14ac:dyDescent="0.25">
      <c r="A39" t="s">
        <v>1</v>
      </c>
      <c r="B39" s="1">
        <f t="shared" si="16"/>
        <v>2217.4610478149784</v>
      </c>
      <c r="C39" s="1">
        <f t="shared" si="9"/>
        <v>0.4509662079455109</v>
      </c>
      <c r="D39" s="1">
        <f t="shared" si="3"/>
        <v>0.22548310397275545</v>
      </c>
      <c r="E39">
        <f t="shared" si="7"/>
        <v>25</v>
      </c>
      <c r="F39" s="7">
        <f t="shared" si="17"/>
        <v>2217.4610478149784</v>
      </c>
      <c r="G39" s="7">
        <f t="shared" si="5"/>
        <v>221.74610478149785</v>
      </c>
      <c r="H39" s="8">
        <f t="shared" si="18"/>
        <v>110.87305239074892</v>
      </c>
    </row>
    <row r="40" spans="1:8" x14ac:dyDescent="0.25">
      <c r="A40" t="s">
        <v>2</v>
      </c>
      <c r="B40" s="1">
        <f t="shared" si="16"/>
        <v>2349.3181433392624</v>
      </c>
      <c r="C40" s="1">
        <f t="shared" si="9"/>
        <v>0.42565541956723868</v>
      </c>
      <c r="D40" s="1">
        <f t="shared" si="3"/>
        <v>0.21282770978361934</v>
      </c>
      <c r="E40">
        <f t="shared" si="7"/>
        <v>24</v>
      </c>
      <c r="F40" s="7">
        <f t="shared" si="17"/>
        <v>2349.3181433392624</v>
      </c>
      <c r="G40" s="7">
        <f t="shared" si="5"/>
        <v>234.93181433392624</v>
      </c>
      <c r="H40" s="8">
        <f t="shared" si="18"/>
        <v>117.46590716696312</v>
      </c>
    </row>
    <row r="41" spans="1:8" x14ac:dyDescent="0.25">
      <c r="A41" t="s">
        <v>3</v>
      </c>
      <c r="B41" s="1">
        <f t="shared" si="16"/>
        <v>2489.0158697766497</v>
      </c>
      <c r="C41" s="1">
        <f t="shared" si="9"/>
        <v>0.40176521658326525</v>
      </c>
      <c r="D41" s="1">
        <f t="shared" si="3"/>
        <v>0.20088260829163262</v>
      </c>
      <c r="E41">
        <f t="shared" si="7"/>
        <v>22</v>
      </c>
      <c r="F41" s="7">
        <f t="shared" si="17"/>
        <v>2489.0158697766497</v>
      </c>
      <c r="G41" s="7">
        <f t="shared" si="5"/>
        <v>248.90158697766498</v>
      </c>
      <c r="H41" s="8">
        <f t="shared" si="18"/>
        <v>124.45079348883249</v>
      </c>
    </row>
    <row r="42" spans="1:8" x14ac:dyDescent="0.25">
      <c r="A42" t="s">
        <v>4</v>
      </c>
      <c r="B42" s="1">
        <f t="shared" si="16"/>
        <v>2637.0204553029621</v>
      </c>
      <c r="C42" s="1">
        <f t="shared" si="9"/>
        <v>0.37921586766194115</v>
      </c>
      <c r="D42" s="1">
        <f t="shared" si="3"/>
        <v>0.18960793383097058</v>
      </c>
      <c r="E42">
        <f t="shared" si="7"/>
        <v>21</v>
      </c>
      <c r="F42" s="7">
        <f t="shared" si="17"/>
        <v>2637.0204553029625</v>
      </c>
      <c r="G42" s="7">
        <f t="shared" si="5"/>
        <v>263.70204553029623</v>
      </c>
      <c r="H42" s="8">
        <f t="shared" si="18"/>
        <v>131.85102276514812</v>
      </c>
    </row>
    <row r="43" spans="1:8" x14ac:dyDescent="0.25">
      <c r="A43" t="s">
        <v>5</v>
      </c>
      <c r="B43" s="1">
        <f t="shared" si="16"/>
        <v>2793.8258514640338</v>
      </c>
      <c r="C43" s="1">
        <f t="shared" si="9"/>
        <v>0.3579321164474068</v>
      </c>
      <c r="D43" s="1">
        <f t="shared" si="3"/>
        <v>0.1789660582237034</v>
      </c>
      <c r="E43">
        <f t="shared" si="7"/>
        <v>20</v>
      </c>
      <c r="F43" s="7">
        <f t="shared" si="17"/>
        <v>2793.8258514640338</v>
      </c>
      <c r="G43" s="7">
        <f t="shared" si="5"/>
        <v>279.38258514640336</v>
      </c>
      <c r="H43" s="8">
        <f t="shared" si="18"/>
        <v>139.69129257320168</v>
      </c>
    </row>
    <row r="44" spans="1:8" x14ac:dyDescent="0.25">
      <c r="A44" t="s">
        <v>6</v>
      </c>
      <c r="B44" s="1">
        <f t="shared" si="16"/>
        <v>2959.9553816930784</v>
      </c>
      <c r="C44" s="1">
        <f t="shared" si="9"/>
        <v>0.33784293039849994</v>
      </c>
      <c r="D44" s="1">
        <f t="shared" si="3"/>
        <v>0.16892146519924997</v>
      </c>
      <c r="E44">
        <f t="shared" si="7"/>
        <v>19</v>
      </c>
      <c r="F44" s="7">
        <f t="shared" si="17"/>
        <v>2959.9553816930784</v>
      </c>
      <c r="G44" s="7">
        <f t="shared" si="5"/>
        <v>295.99553816930785</v>
      </c>
      <c r="H44" s="8">
        <f t="shared" si="18"/>
        <v>147.99776908465392</v>
      </c>
    </row>
    <row r="45" spans="1:8" x14ac:dyDescent="0.25">
      <c r="A45" t="s">
        <v>7</v>
      </c>
      <c r="B45" s="1">
        <f t="shared" si="16"/>
        <v>3135.9634878539978</v>
      </c>
      <c r="C45" s="1">
        <f t="shared" si="9"/>
        <v>0.31888126372425335</v>
      </c>
      <c r="D45" s="1">
        <f t="shared" si="3"/>
        <v>0.15944063186212667</v>
      </c>
      <c r="E45">
        <f t="shared" si="7"/>
        <v>18</v>
      </c>
      <c r="F45" s="7">
        <f t="shared" si="17"/>
        <v>3135.9634878539978</v>
      </c>
      <c r="G45" s="7">
        <f t="shared" si="5"/>
        <v>313.59634878539975</v>
      </c>
      <c r="H45" s="8">
        <f t="shared" si="18"/>
        <v>156.79817439269988</v>
      </c>
    </row>
    <row r="46" spans="1:8" x14ac:dyDescent="0.25">
      <c r="A46" t="s">
        <v>8</v>
      </c>
      <c r="B46" s="1">
        <f t="shared" si="16"/>
        <v>3322.4375806395647</v>
      </c>
      <c r="C46" s="1">
        <f t="shared" si="9"/>
        <v>0.30098383362479947</v>
      </c>
      <c r="D46" s="1">
        <f t="shared" si="3"/>
        <v>0.15049191681239973</v>
      </c>
      <c r="E46">
        <f t="shared" si="7"/>
        <v>17</v>
      </c>
      <c r="F46" s="7">
        <f t="shared" si="17"/>
        <v>3322.4375806395647</v>
      </c>
      <c r="G46" s="7">
        <f t="shared" si="5"/>
        <v>332.24375806395648</v>
      </c>
      <c r="H46" s="8">
        <f t="shared" si="18"/>
        <v>166.12187903197824</v>
      </c>
    </row>
    <row r="47" spans="1:8" x14ac:dyDescent="0.25">
      <c r="A47" t="s">
        <v>9</v>
      </c>
      <c r="B47" s="1">
        <f t="shared" si="16"/>
        <v>3520.0000000000041</v>
      </c>
      <c r="C47" s="1">
        <f t="shared" si="9"/>
        <v>0.28409090909090873</v>
      </c>
      <c r="D47" s="1">
        <f t="shared" si="3"/>
        <v>0.14204545454545436</v>
      </c>
      <c r="E47">
        <f t="shared" si="7"/>
        <v>16</v>
      </c>
      <c r="F47" s="7">
        <f t="shared" si="17"/>
        <v>3520.0000000000045</v>
      </c>
      <c r="G47" s="7">
        <f t="shared" si="5"/>
        <v>352.00000000000045</v>
      </c>
      <c r="H47" s="8">
        <f t="shared" si="18"/>
        <v>176.00000000000023</v>
      </c>
    </row>
    <row r="48" spans="1:8" x14ac:dyDescent="0.25">
      <c r="A48" t="s">
        <v>10</v>
      </c>
      <c r="B48" s="1">
        <f t="shared" si="16"/>
        <v>3729.310092144724</v>
      </c>
      <c r="C48" s="1">
        <f t="shared" si="9"/>
        <v>0.26814611155729895</v>
      </c>
      <c r="D48" s="1">
        <f t="shared" si="3"/>
        <v>0.13407305577864947</v>
      </c>
      <c r="E48">
        <f t="shared" si="7"/>
        <v>15</v>
      </c>
      <c r="F48" s="7">
        <f t="shared" si="17"/>
        <v>3729.310092144724</v>
      </c>
      <c r="G48" s="7">
        <f t="shared" si="5"/>
        <v>372.9310092144724</v>
      </c>
      <c r="H48" s="8">
        <f t="shared" si="18"/>
        <v>186.4655046072362</v>
      </c>
    </row>
    <row r="49" spans="1:8" x14ac:dyDescent="0.25">
      <c r="A49" t="s">
        <v>11</v>
      </c>
      <c r="B49" s="1">
        <f t="shared" si="16"/>
        <v>3951.066410048998</v>
      </c>
      <c r="C49" s="1">
        <f t="shared" si="9"/>
        <v>0.25309622674441423</v>
      </c>
      <c r="D49" s="1">
        <f t="shared" si="3"/>
        <v>0.12654811337220712</v>
      </c>
      <c r="E49">
        <f t="shared" si="7"/>
        <v>14</v>
      </c>
      <c r="F49" s="7">
        <f t="shared" si="17"/>
        <v>3951.066410048998</v>
      </c>
      <c r="G49" s="7">
        <f t="shared" si="5"/>
        <v>395.10664100489981</v>
      </c>
      <c r="H49" s="8">
        <f t="shared" si="18"/>
        <v>197.55332050244991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Roberts</dc:creator>
  <cp:lastModifiedBy>Glenn Roberts</cp:lastModifiedBy>
  <dcterms:created xsi:type="dcterms:W3CDTF">2026-09-05T13:14:12Z</dcterms:created>
  <dcterms:modified xsi:type="dcterms:W3CDTF">2026-09-06T20:24:03Z</dcterms:modified>
</cp:coreProperties>
</file>